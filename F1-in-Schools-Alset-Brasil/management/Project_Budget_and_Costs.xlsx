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çamento Otimista" sheetId="1" r:id="rId5"/>
    <sheet state="visible" name="Orçamento Realista" sheetId="2" r:id="rId6"/>
    <sheet state="visible" name="Orçamento Pessimista" sheetId="3" r:id="rId7"/>
  </sheets>
  <definedNames/>
  <calcPr/>
</workbook>
</file>

<file path=xl/sharedStrings.xml><?xml version="1.0" encoding="utf-8"?>
<sst xmlns="http://schemas.openxmlformats.org/spreadsheetml/2006/main" count="114" uniqueCount="65">
  <si>
    <t>Itens</t>
  </si>
  <si>
    <t>preço unitário</t>
  </si>
  <si>
    <t>quantidade</t>
  </si>
  <si>
    <t>valor total</t>
  </si>
  <si>
    <t>Preço unitário</t>
  </si>
  <si>
    <t>Quantidade</t>
  </si>
  <si>
    <t>Custo teórico</t>
  </si>
  <si>
    <t>custo real</t>
  </si>
  <si>
    <t>bloco de poliuretano padrão</t>
  </si>
  <si>
    <t>Bloco de poliuretano padrão</t>
  </si>
  <si>
    <t>Rolamento ceramica vican</t>
  </si>
  <si>
    <t>Rolamentos hibrídros vican</t>
  </si>
  <si>
    <t>doação</t>
  </si>
  <si>
    <t xml:space="preserve">rolo de filamento ABS </t>
  </si>
  <si>
    <t>Rolo de filamento Tritan</t>
  </si>
  <si>
    <t>rolo de filamento  fibra de carbono</t>
  </si>
  <si>
    <t>Cilindros de CO2 (10 unidades)</t>
  </si>
  <si>
    <t>rolo de filamento TPU</t>
  </si>
  <si>
    <t>Tinta preta 900ml</t>
  </si>
  <si>
    <t>cilindros de CO2</t>
  </si>
  <si>
    <t xml:space="preserve">Tinta azul 900ml </t>
  </si>
  <si>
    <t>tarugo de nylon 30 x 250mm</t>
  </si>
  <si>
    <t>Spray selador para plástico 900ml</t>
  </si>
  <si>
    <t>tarugo de aluminio 34,98x 300mm</t>
  </si>
  <si>
    <t>Verniz</t>
  </si>
  <si>
    <t>tarugo de alumínio 9,52 x 500mm</t>
  </si>
  <si>
    <t>Maxirubber primer</t>
  </si>
  <si>
    <t>bloco de aluminio</t>
  </si>
  <si>
    <t>Espuma expansiva de poliuretano</t>
  </si>
  <si>
    <t>tinta spray preta</t>
  </si>
  <si>
    <t>Cola instantânea</t>
  </si>
  <si>
    <t>limpa rolamentos vican</t>
  </si>
  <si>
    <t>Cola epoxi</t>
  </si>
  <si>
    <t>tinta spray azul</t>
  </si>
  <si>
    <t>TekBond</t>
  </si>
  <si>
    <t>primer</t>
  </si>
  <si>
    <t>Lixa G180</t>
  </si>
  <si>
    <t>Broca 18mm</t>
  </si>
  <si>
    <t>Lixa G150</t>
  </si>
  <si>
    <t>caixa de ferramentas</t>
  </si>
  <si>
    <t>Lixa d'água G80</t>
  </si>
  <si>
    <t>alicate de bico</t>
  </si>
  <si>
    <t>Lixa d'água G120</t>
  </si>
  <si>
    <t>alicate de corte</t>
  </si>
  <si>
    <t>Lixa d'água G100</t>
  </si>
  <si>
    <t>alicate universal</t>
  </si>
  <si>
    <t>Total</t>
  </si>
  <si>
    <t>lima</t>
  </si>
  <si>
    <t>paquimetro</t>
  </si>
  <si>
    <t>lixas</t>
  </si>
  <si>
    <t>supercola epoxi</t>
  </si>
  <si>
    <t>supercola tekbond 160</t>
  </si>
  <si>
    <t>supercola tekbond 793</t>
  </si>
  <si>
    <t>microretifica</t>
  </si>
  <si>
    <t>Pista</t>
  </si>
  <si>
    <t>---------------------</t>
  </si>
  <si>
    <t>Rolamento hibrido vican</t>
  </si>
  <si>
    <t>limpa rolamentos</t>
  </si>
  <si>
    <t>rolo de filamento nylon</t>
  </si>
  <si>
    <t>broca 18mm</t>
  </si>
  <si>
    <t>supercola tekond 160</t>
  </si>
  <si>
    <t>Rolamento de aço vican</t>
  </si>
  <si>
    <t>lubricante de rolamentos vican</t>
  </si>
  <si>
    <t>limpador de rolamentos Vican</t>
  </si>
  <si>
    <t>filamento ABS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</si>
</sst>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164" xfId="0" applyBorder="1" applyFont="1" applyNumberForma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38"/>
    <col customWidth="1" min="7" max="7" width="26.25"/>
    <col customWidth="1" min="9" max="9" width="11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G1" s="2" t="s">
        <v>0</v>
      </c>
      <c r="H1" s="2" t="s">
        <v>4</v>
      </c>
      <c r="I1" s="2" t="s">
        <v>5</v>
      </c>
      <c r="J1" s="2" t="s">
        <v>6</v>
      </c>
      <c r="K1" s="2" t="s">
        <v>7</v>
      </c>
    </row>
    <row r="2" ht="15.0" customHeight="1">
      <c r="B2" s="3" t="s">
        <v>8</v>
      </c>
      <c r="C2" s="4">
        <v>150.0</v>
      </c>
      <c r="D2" s="3">
        <v>6.0</v>
      </c>
      <c r="E2" s="5">
        <f t="shared" ref="E2:E28" si="1">MULTIPLY(C2, D2)</f>
        <v>900</v>
      </c>
      <c r="G2" s="6" t="s">
        <v>9</v>
      </c>
      <c r="H2" s="7">
        <v>150.0</v>
      </c>
      <c r="I2" s="6">
        <v>3.0</v>
      </c>
      <c r="J2" s="8">
        <f t="shared" ref="J2:J19" si="2">MULTIPLY(H2,I2)</f>
        <v>450</v>
      </c>
      <c r="K2" s="8">
        <f>MULTIPLY(I2,H2)</f>
        <v>450</v>
      </c>
    </row>
    <row r="3">
      <c r="B3" s="3" t="s">
        <v>10</v>
      </c>
      <c r="C3" s="4">
        <v>100.0</v>
      </c>
      <c r="D3" s="3">
        <v>20.0</v>
      </c>
      <c r="E3" s="5">
        <f t="shared" si="1"/>
        <v>2000</v>
      </c>
      <c r="G3" s="6" t="s">
        <v>11</v>
      </c>
      <c r="H3" s="7">
        <v>69.9</v>
      </c>
      <c r="I3" s="6">
        <v>8.0</v>
      </c>
      <c r="J3" s="8">
        <f t="shared" si="2"/>
        <v>559.2</v>
      </c>
      <c r="K3" s="7" t="s">
        <v>12</v>
      </c>
    </row>
    <row r="4">
      <c r="B4" s="3" t="s">
        <v>13</v>
      </c>
      <c r="C4" s="4">
        <v>50.0</v>
      </c>
      <c r="D4" s="3">
        <v>1.0</v>
      </c>
      <c r="E4" s="5">
        <f t="shared" si="1"/>
        <v>50</v>
      </c>
      <c r="G4" s="6" t="s">
        <v>14</v>
      </c>
      <c r="H4" s="7">
        <v>65.0</v>
      </c>
      <c r="I4" s="6">
        <v>1.0</v>
      </c>
      <c r="J4" s="8">
        <f t="shared" si="2"/>
        <v>65</v>
      </c>
      <c r="K4" s="8">
        <f>MULTIPLY(I4,J4)</f>
        <v>65</v>
      </c>
    </row>
    <row r="5">
      <c r="B5" s="3" t="s">
        <v>15</v>
      </c>
      <c r="C5" s="4">
        <v>250.0</v>
      </c>
      <c r="D5" s="3">
        <v>1.0</v>
      </c>
      <c r="E5" s="5">
        <f t="shared" si="1"/>
        <v>250</v>
      </c>
      <c r="G5" s="6" t="s">
        <v>16</v>
      </c>
      <c r="H5" s="7">
        <v>29.9</v>
      </c>
      <c r="I5" s="6">
        <v>10.0</v>
      </c>
      <c r="J5" s="8">
        <f t="shared" si="2"/>
        <v>299</v>
      </c>
      <c r="K5" s="8">
        <f>MULTIPLY(I5,H5)</f>
        <v>299</v>
      </c>
    </row>
    <row r="6">
      <c r="B6" s="3" t="s">
        <v>17</v>
      </c>
      <c r="C6" s="4">
        <v>150.0</v>
      </c>
      <c r="D6" s="3">
        <v>1.0</v>
      </c>
      <c r="E6" s="5">
        <f t="shared" si="1"/>
        <v>150</v>
      </c>
      <c r="G6" s="6" t="s">
        <v>18</v>
      </c>
      <c r="H6" s="7">
        <v>34.4</v>
      </c>
      <c r="I6" s="6">
        <v>1.0</v>
      </c>
      <c r="J6" s="8">
        <f t="shared" si="2"/>
        <v>34.4</v>
      </c>
      <c r="K6" s="8">
        <f t="shared" ref="K6:K19" si="3">MULTIPLY(I6,J6)</f>
        <v>34.4</v>
      </c>
    </row>
    <row r="7">
      <c r="B7" s="3" t="s">
        <v>19</v>
      </c>
      <c r="C7" s="4">
        <v>5.0</v>
      </c>
      <c r="D7" s="3">
        <v>20.0</v>
      </c>
      <c r="E7" s="5">
        <f t="shared" si="1"/>
        <v>100</v>
      </c>
      <c r="G7" s="6" t="s">
        <v>20</v>
      </c>
      <c r="H7" s="7">
        <v>32.35</v>
      </c>
      <c r="I7" s="6">
        <v>1.0</v>
      </c>
      <c r="J7" s="8">
        <f t="shared" si="2"/>
        <v>32.35</v>
      </c>
      <c r="K7" s="8">
        <f t="shared" si="3"/>
        <v>32.35</v>
      </c>
    </row>
    <row r="8">
      <c r="B8" s="3" t="s">
        <v>21</v>
      </c>
      <c r="C8" s="4">
        <v>34.99</v>
      </c>
      <c r="D8" s="3">
        <v>1.0</v>
      </c>
      <c r="E8" s="5">
        <f t="shared" si="1"/>
        <v>34.99</v>
      </c>
      <c r="G8" s="6" t="s">
        <v>22</v>
      </c>
      <c r="H8" s="7">
        <v>34.94</v>
      </c>
      <c r="I8" s="6">
        <v>1.0</v>
      </c>
      <c r="J8" s="8">
        <f t="shared" si="2"/>
        <v>34.94</v>
      </c>
      <c r="K8" s="8">
        <f t="shared" si="3"/>
        <v>34.94</v>
      </c>
    </row>
    <row r="9">
      <c r="B9" s="3" t="s">
        <v>23</v>
      </c>
      <c r="C9" s="4">
        <v>70.0</v>
      </c>
      <c r="D9" s="3">
        <v>1.0</v>
      </c>
      <c r="E9" s="5">
        <f t="shared" si="1"/>
        <v>70</v>
      </c>
      <c r="G9" s="6" t="s">
        <v>24</v>
      </c>
      <c r="H9" s="7">
        <v>39.9</v>
      </c>
      <c r="I9" s="6">
        <v>1.0</v>
      </c>
      <c r="J9" s="8">
        <f t="shared" si="2"/>
        <v>39.9</v>
      </c>
      <c r="K9" s="8">
        <f t="shared" si="3"/>
        <v>39.9</v>
      </c>
    </row>
    <row r="10">
      <c r="B10" s="3" t="s">
        <v>25</v>
      </c>
      <c r="C10" s="4">
        <v>22.0</v>
      </c>
      <c r="D10" s="3">
        <v>1.0</v>
      </c>
      <c r="E10" s="5">
        <f t="shared" si="1"/>
        <v>22</v>
      </c>
      <c r="G10" s="6" t="s">
        <v>26</v>
      </c>
      <c r="H10" s="7">
        <v>25.17</v>
      </c>
      <c r="I10" s="6">
        <v>1.0</v>
      </c>
      <c r="J10" s="8">
        <f t="shared" si="2"/>
        <v>25.17</v>
      </c>
      <c r="K10" s="8">
        <f t="shared" si="3"/>
        <v>25.17</v>
      </c>
    </row>
    <row r="11">
      <c r="B11" s="3" t="s">
        <v>27</v>
      </c>
      <c r="C11" s="4">
        <v>50.0</v>
      </c>
      <c r="D11" s="3">
        <v>3.0</v>
      </c>
      <c r="E11" s="5">
        <f t="shared" si="1"/>
        <v>150</v>
      </c>
      <c r="G11" s="6" t="s">
        <v>28</v>
      </c>
      <c r="H11" s="7">
        <v>16.49</v>
      </c>
      <c r="I11" s="6">
        <v>1.0</v>
      </c>
      <c r="J11" s="8">
        <f t="shared" si="2"/>
        <v>16.49</v>
      </c>
      <c r="K11" s="8">
        <f t="shared" si="3"/>
        <v>16.49</v>
      </c>
    </row>
    <row r="12">
      <c r="B12" s="3" t="s">
        <v>29</v>
      </c>
      <c r="C12" s="4">
        <v>15.0</v>
      </c>
      <c r="D12" s="3">
        <v>1.0</v>
      </c>
      <c r="E12" s="5">
        <f t="shared" si="1"/>
        <v>15</v>
      </c>
      <c r="G12" s="6" t="s">
        <v>30</v>
      </c>
      <c r="H12" s="7">
        <v>8.4</v>
      </c>
      <c r="I12" s="6">
        <v>1.0</v>
      </c>
      <c r="J12" s="8">
        <f t="shared" si="2"/>
        <v>8.4</v>
      </c>
      <c r="K12" s="8">
        <f t="shared" si="3"/>
        <v>8.4</v>
      </c>
    </row>
    <row r="13">
      <c r="B13" s="3" t="s">
        <v>31</v>
      </c>
      <c r="C13" s="4">
        <v>57.9</v>
      </c>
      <c r="D13" s="3">
        <v>1.0</v>
      </c>
      <c r="E13" s="5">
        <f t="shared" si="1"/>
        <v>57.9</v>
      </c>
      <c r="G13" s="6" t="s">
        <v>32</v>
      </c>
      <c r="H13" s="7">
        <v>15.99</v>
      </c>
      <c r="I13" s="6">
        <v>1.0</v>
      </c>
      <c r="J13" s="8">
        <f t="shared" si="2"/>
        <v>15.99</v>
      </c>
      <c r="K13" s="8">
        <f t="shared" si="3"/>
        <v>15.99</v>
      </c>
    </row>
    <row r="14">
      <c r="B14" s="3" t="s">
        <v>33</v>
      </c>
      <c r="C14" s="4">
        <v>15.0</v>
      </c>
      <c r="D14" s="3">
        <v>1.0</v>
      </c>
      <c r="E14" s="5">
        <f t="shared" si="1"/>
        <v>15</v>
      </c>
      <c r="G14" s="6" t="s">
        <v>34</v>
      </c>
      <c r="H14" s="7">
        <v>23.79</v>
      </c>
      <c r="I14" s="6">
        <v>1.0</v>
      </c>
      <c r="J14" s="8">
        <f t="shared" si="2"/>
        <v>23.79</v>
      </c>
      <c r="K14" s="8">
        <f t="shared" si="3"/>
        <v>23.79</v>
      </c>
    </row>
    <row r="15">
      <c r="B15" s="3" t="s">
        <v>35</v>
      </c>
      <c r="C15" s="4">
        <v>25.0</v>
      </c>
      <c r="D15" s="3">
        <v>1.0</v>
      </c>
      <c r="E15" s="5">
        <f t="shared" si="1"/>
        <v>25</v>
      </c>
      <c r="G15" s="6" t="s">
        <v>36</v>
      </c>
      <c r="H15" s="7">
        <v>0.99</v>
      </c>
      <c r="I15" s="6">
        <v>1.0</v>
      </c>
      <c r="J15" s="8">
        <f t="shared" si="2"/>
        <v>0.99</v>
      </c>
      <c r="K15" s="8">
        <f t="shared" si="3"/>
        <v>0.99</v>
      </c>
    </row>
    <row r="16">
      <c r="B16" s="3" t="s">
        <v>37</v>
      </c>
      <c r="C16" s="4">
        <v>30.0</v>
      </c>
      <c r="D16" s="3">
        <v>1.0</v>
      </c>
      <c r="E16" s="5">
        <f t="shared" si="1"/>
        <v>30</v>
      </c>
      <c r="G16" s="6" t="s">
        <v>38</v>
      </c>
      <c r="H16" s="7">
        <v>0.99</v>
      </c>
      <c r="I16" s="6">
        <v>1.0</v>
      </c>
      <c r="J16" s="8">
        <f t="shared" si="2"/>
        <v>0.99</v>
      </c>
      <c r="K16" s="8">
        <f t="shared" si="3"/>
        <v>0.99</v>
      </c>
    </row>
    <row r="17">
      <c r="B17" s="3" t="s">
        <v>39</v>
      </c>
      <c r="C17" s="4">
        <v>50.0</v>
      </c>
      <c r="D17" s="3">
        <v>1.0</v>
      </c>
      <c r="E17" s="5">
        <f t="shared" si="1"/>
        <v>50</v>
      </c>
      <c r="G17" s="6" t="s">
        <v>40</v>
      </c>
      <c r="H17" s="7">
        <v>2.19</v>
      </c>
      <c r="I17" s="6">
        <v>1.0</v>
      </c>
      <c r="J17" s="8">
        <f t="shared" si="2"/>
        <v>2.19</v>
      </c>
      <c r="K17" s="8">
        <f t="shared" si="3"/>
        <v>2.19</v>
      </c>
    </row>
    <row r="18">
      <c r="B18" s="3" t="s">
        <v>41</v>
      </c>
      <c r="C18" s="4">
        <v>15.0</v>
      </c>
      <c r="D18" s="3">
        <v>1.0</v>
      </c>
      <c r="E18" s="5">
        <f t="shared" si="1"/>
        <v>15</v>
      </c>
      <c r="G18" s="6" t="s">
        <v>42</v>
      </c>
      <c r="H18" s="7">
        <v>2.19</v>
      </c>
      <c r="I18" s="6">
        <v>1.0</v>
      </c>
      <c r="J18" s="8">
        <f t="shared" si="2"/>
        <v>2.19</v>
      </c>
      <c r="K18" s="8">
        <f t="shared" si="3"/>
        <v>2.19</v>
      </c>
    </row>
    <row r="19">
      <c r="B19" s="3" t="s">
        <v>43</v>
      </c>
      <c r="C19" s="4">
        <v>15.0</v>
      </c>
      <c r="D19" s="3">
        <v>1.0</v>
      </c>
      <c r="E19" s="5">
        <f t="shared" si="1"/>
        <v>15</v>
      </c>
      <c r="G19" s="6" t="s">
        <v>44</v>
      </c>
      <c r="H19" s="7">
        <v>2.19</v>
      </c>
      <c r="I19" s="6">
        <v>1.0</v>
      </c>
      <c r="J19" s="8">
        <f t="shared" si="2"/>
        <v>2.19</v>
      </c>
      <c r="K19" s="8">
        <f t="shared" si="3"/>
        <v>2.19</v>
      </c>
    </row>
    <row r="20">
      <c r="B20" s="3" t="s">
        <v>45</v>
      </c>
      <c r="C20" s="4">
        <v>15.0</v>
      </c>
      <c r="D20" s="3">
        <v>1.0</v>
      </c>
      <c r="E20" s="5">
        <f t="shared" si="1"/>
        <v>15</v>
      </c>
      <c r="G20" s="6" t="s">
        <v>46</v>
      </c>
      <c r="I20" s="6">
        <v>29.0</v>
      </c>
      <c r="J20" s="9">
        <f t="shared" ref="J20:K20" si="4">SUM(J2:J19)</f>
        <v>1613.18</v>
      </c>
      <c r="K20" s="9">
        <f t="shared" si="4"/>
        <v>1053.98</v>
      </c>
    </row>
    <row r="21">
      <c r="B21" s="3" t="s">
        <v>47</v>
      </c>
      <c r="C21" s="4">
        <v>20.0</v>
      </c>
      <c r="D21" s="3">
        <v>1.0</v>
      </c>
      <c r="E21" s="5">
        <f t="shared" si="1"/>
        <v>20</v>
      </c>
    </row>
    <row r="22">
      <c r="B22" s="3" t="s">
        <v>48</v>
      </c>
      <c r="C22" s="4">
        <v>50.0</v>
      </c>
      <c r="D22" s="3">
        <v>1.0</v>
      </c>
      <c r="E22" s="5">
        <f t="shared" si="1"/>
        <v>50</v>
      </c>
    </row>
    <row r="23">
      <c r="B23" s="3" t="s">
        <v>49</v>
      </c>
      <c r="C23" s="4">
        <v>5.0</v>
      </c>
      <c r="D23" s="3">
        <v>1.0</v>
      </c>
      <c r="E23" s="5">
        <f t="shared" si="1"/>
        <v>5</v>
      </c>
    </row>
    <row r="24">
      <c r="B24" s="3" t="s">
        <v>50</v>
      </c>
      <c r="C24" s="4">
        <v>20.0</v>
      </c>
      <c r="D24" s="3">
        <v>1.0</v>
      </c>
      <c r="E24" s="5">
        <f t="shared" si="1"/>
        <v>20</v>
      </c>
    </row>
    <row r="25">
      <c r="B25" s="3" t="s">
        <v>51</v>
      </c>
      <c r="C25" s="4">
        <v>22.9</v>
      </c>
      <c r="D25" s="3">
        <v>1.0</v>
      </c>
      <c r="E25" s="5">
        <f t="shared" si="1"/>
        <v>22.9</v>
      </c>
    </row>
    <row r="26">
      <c r="B26" s="3" t="s">
        <v>52</v>
      </c>
      <c r="C26" s="4">
        <v>16.9</v>
      </c>
      <c r="D26" s="3">
        <v>2.0</v>
      </c>
      <c r="E26" s="5">
        <f t="shared" si="1"/>
        <v>33.8</v>
      </c>
    </row>
    <row r="27">
      <c r="B27" s="3" t="s">
        <v>53</v>
      </c>
      <c r="C27" s="4">
        <v>200.0</v>
      </c>
      <c r="D27" s="3">
        <v>1.0</v>
      </c>
      <c r="E27" s="5">
        <f t="shared" si="1"/>
        <v>200</v>
      </c>
    </row>
    <row r="28">
      <c r="B28" s="3" t="s">
        <v>54</v>
      </c>
      <c r="C28" s="10"/>
      <c r="D28" s="3">
        <v>1.0</v>
      </c>
      <c r="E28" s="10">
        <f t="shared" si="1"/>
        <v>0</v>
      </c>
    </row>
    <row r="29">
      <c r="B29" s="3" t="s">
        <v>46</v>
      </c>
      <c r="C29" s="4" t="s">
        <v>55</v>
      </c>
      <c r="D29" s="10">
        <f t="shared" ref="D29:E29" si="5">SUM(D2:D28)</f>
        <v>73</v>
      </c>
      <c r="E29" s="5">
        <f t="shared" si="5"/>
        <v>4316.59</v>
      </c>
    </row>
    <row r="30">
      <c r="C30" s="8"/>
    </row>
    <row r="31">
      <c r="C31" s="8"/>
    </row>
    <row r="32">
      <c r="C32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B2" s="3" t="s">
        <v>8</v>
      </c>
      <c r="C2" s="4">
        <v>150.0</v>
      </c>
      <c r="D2" s="3">
        <v>5.0</v>
      </c>
      <c r="E2" s="5">
        <f t="shared" ref="E2:E27" si="1">MULTIPLY(C2, D2)</f>
        <v>750</v>
      </c>
    </row>
    <row r="3">
      <c r="B3" s="3" t="s">
        <v>56</v>
      </c>
      <c r="C3" s="4">
        <v>69.9</v>
      </c>
      <c r="D3" s="3">
        <v>16.0</v>
      </c>
      <c r="E3" s="5">
        <f t="shared" si="1"/>
        <v>1118.4</v>
      </c>
    </row>
    <row r="4">
      <c r="B4" s="3" t="s">
        <v>57</v>
      </c>
      <c r="C4" s="4">
        <v>57.9</v>
      </c>
      <c r="D4" s="3">
        <v>1.0</v>
      </c>
      <c r="E4" s="5">
        <f t="shared" si="1"/>
        <v>57.9</v>
      </c>
    </row>
    <row r="5">
      <c r="B5" s="3" t="s">
        <v>13</v>
      </c>
      <c r="C5" s="4">
        <v>50.0</v>
      </c>
      <c r="D5" s="3">
        <v>1.0</v>
      </c>
      <c r="E5" s="5">
        <f t="shared" si="1"/>
        <v>50</v>
      </c>
    </row>
    <row r="6">
      <c r="B6" s="3" t="s">
        <v>58</v>
      </c>
      <c r="C6" s="4">
        <v>100.0</v>
      </c>
      <c r="D6" s="3">
        <v>1.0</v>
      </c>
      <c r="E6" s="5">
        <f t="shared" si="1"/>
        <v>100</v>
      </c>
    </row>
    <row r="7">
      <c r="B7" s="3" t="s">
        <v>19</v>
      </c>
      <c r="C7" s="4">
        <v>5.0</v>
      </c>
      <c r="D7" s="3">
        <v>20.0</v>
      </c>
      <c r="E7" s="5">
        <f t="shared" si="1"/>
        <v>100</v>
      </c>
    </row>
    <row r="8">
      <c r="B8" s="3" t="s">
        <v>21</v>
      </c>
      <c r="C8" s="4">
        <v>34.99</v>
      </c>
      <c r="D8" s="3">
        <v>1.0</v>
      </c>
      <c r="E8" s="5">
        <f t="shared" si="1"/>
        <v>34.99</v>
      </c>
    </row>
    <row r="9">
      <c r="B9" s="3" t="s">
        <v>23</v>
      </c>
      <c r="C9" s="4">
        <v>70.0</v>
      </c>
      <c r="D9" s="3">
        <v>1.0</v>
      </c>
      <c r="E9" s="5">
        <f t="shared" si="1"/>
        <v>70</v>
      </c>
    </row>
    <row r="10">
      <c r="B10" s="3" t="s">
        <v>25</v>
      </c>
      <c r="C10" s="4">
        <v>22.0</v>
      </c>
      <c r="D10" s="3">
        <v>1.0</v>
      </c>
      <c r="E10" s="5">
        <f t="shared" si="1"/>
        <v>22</v>
      </c>
    </row>
    <row r="11">
      <c r="B11" s="3" t="s">
        <v>27</v>
      </c>
      <c r="C11" s="4">
        <v>50.0</v>
      </c>
      <c r="D11" s="3">
        <v>3.0</v>
      </c>
      <c r="E11" s="5">
        <f t="shared" si="1"/>
        <v>150</v>
      </c>
    </row>
    <row r="12">
      <c r="B12" s="3" t="s">
        <v>29</v>
      </c>
      <c r="C12" s="4">
        <v>15.0</v>
      </c>
      <c r="D12" s="3">
        <v>1.0</v>
      </c>
      <c r="E12" s="5">
        <f t="shared" si="1"/>
        <v>15</v>
      </c>
    </row>
    <row r="13">
      <c r="B13" s="3" t="s">
        <v>33</v>
      </c>
      <c r="C13" s="4">
        <v>15.0</v>
      </c>
      <c r="D13" s="3">
        <v>1.0</v>
      </c>
      <c r="E13" s="5">
        <f t="shared" si="1"/>
        <v>15</v>
      </c>
    </row>
    <row r="14">
      <c r="B14" s="3" t="s">
        <v>35</v>
      </c>
      <c r="C14" s="4">
        <v>25.0</v>
      </c>
      <c r="D14" s="3">
        <v>1.0</v>
      </c>
      <c r="E14" s="5">
        <f t="shared" si="1"/>
        <v>25</v>
      </c>
    </row>
    <row r="15">
      <c r="B15" s="3" t="s">
        <v>59</v>
      </c>
      <c r="C15" s="4">
        <v>30.0</v>
      </c>
      <c r="D15" s="3">
        <v>1.0</v>
      </c>
      <c r="E15" s="5">
        <f t="shared" si="1"/>
        <v>30</v>
      </c>
    </row>
    <row r="16">
      <c r="B16" s="3" t="s">
        <v>39</v>
      </c>
      <c r="C16" s="4">
        <v>50.0</v>
      </c>
      <c r="D16" s="3">
        <v>1.0</v>
      </c>
      <c r="E16" s="5">
        <f t="shared" si="1"/>
        <v>50</v>
      </c>
    </row>
    <row r="17">
      <c r="B17" s="3" t="s">
        <v>41</v>
      </c>
      <c r="C17" s="4">
        <v>15.0</v>
      </c>
      <c r="D17" s="3">
        <v>1.0</v>
      </c>
      <c r="E17" s="5">
        <f t="shared" si="1"/>
        <v>15</v>
      </c>
    </row>
    <row r="18">
      <c r="B18" s="3" t="s">
        <v>43</v>
      </c>
      <c r="C18" s="4">
        <v>15.0</v>
      </c>
      <c r="D18" s="3">
        <v>1.0</v>
      </c>
      <c r="E18" s="5">
        <f t="shared" si="1"/>
        <v>15</v>
      </c>
    </row>
    <row r="19">
      <c r="B19" s="3" t="s">
        <v>45</v>
      </c>
      <c r="C19" s="4">
        <v>15.0</v>
      </c>
      <c r="D19" s="3">
        <v>1.0</v>
      </c>
      <c r="E19" s="5">
        <f t="shared" si="1"/>
        <v>15</v>
      </c>
    </row>
    <row r="20">
      <c r="B20" s="3" t="s">
        <v>47</v>
      </c>
      <c r="C20" s="4">
        <v>20.0</v>
      </c>
      <c r="D20" s="3">
        <v>1.0</v>
      </c>
      <c r="E20" s="5">
        <f t="shared" si="1"/>
        <v>20</v>
      </c>
    </row>
    <row r="21">
      <c r="B21" s="3" t="s">
        <v>48</v>
      </c>
      <c r="C21" s="4">
        <v>50.0</v>
      </c>
      <c r="D21" s="3">
        <v>1.0</v>
      </c>
      <c r="E21" s="5">
        <f t="shared" si="1"/>
        <v>50</v>
      </c>
    </row>
    <row r="22">
      <c r="B22" s="3" t="s">
        <v>49</v>
      </c>
      <c r="C22" s="4">
        <v>5.0</v>
      </c>
      <c r="D22" s="3">
        <v>1.0</v>
      </c>
      <c r="E22" s="5">
        <f t="shared" si="1"/>
        <v>5</v>
      </c>
    </row>
    <row r="23">
      <c r="B23" s="3" t="s">
        <v>50</v>
      </c>
      <c r="C23" s="4">
        <v>20.0</v>
      </c>
      <c r="D23" s="3">
        <v>1.0</v>
      </c>
      <c r="E23" s="5">
        <f t="shared" si="1"/>
        <v>20</v>
      </c>
    </row>
    <row r="24">
      <c r="B24" s="3" t="s">
        <v>60</v>
      </c>
      <c r="C24" s="4">
        <v>22.9</v>
      </c>
      <c r="D24" s="3">
        <v>1.0</v>
      </c>
      <c r="E24" s="5">
        <f t="shared" si="1"/>
        <v>22.9</v>
      </c>
    </row>
    <row r="25">
      <c r="B25" s="3" t="s">
        <v>52</v>
      </c>
      <c r="C25" s="4">
        <v>16.9</v>
      </c>
      <c r="D25" s="3">
        <v>2.0</v>
      </c>
      <c r="E25" s="5">
        <f t="shared" si="1"/>
        <v>33.8</v>
      </c>
    </row>
    <row r="26">
      <c r="B26" s="3" t="s">
        <v>53</v>
      </c>
      <c r="C26" s="4">
        <v>200.0</v>
      </c>
      <c r="D26" s="3">
        <v>1.0</v>
      </c>
      <c r="E26" s="5">
        <f t="shared" si="1"/>
        <v>200</v>
      </c>
    </row>
    <row r="27">
      <c r="B27" s="3" t="s">
        <v>54</v>
      </c>
      <c r="C27" s="10"/>
      <c r="D27" s="3">
        <v>1.0</v>
      </c>
      <c r="E27" s="10">
        <f t="shared" si="1"/>
        <v>0</v>
      </c>
    </row>
    <row r="28">
      <c r="B28" s="3" t="s">
        <v>46</v>
      </c>
      <c r="C28" s="4" t="s">
        <v>55</v>
      </c>
      <c r="D28" s="10">
        <f t="shared" ref="D28:E28" si="2">SUM(D2:D27)</f>
        <v>67</v>
      </c>
      <c r="E28" s="5">
        <f t="shared" si="2"/>
        <v>2984.99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B2" s="3" t="s">
        <v>8</v>
      </c>
      <c r="C2" s="4">
        <v>150.0</v>
      </c>
      <c r="D2" s="3">
        <v>3.0</v>
      </c>
      <c r="E2" s="5">
        <f t="shared" ref="E2:E9" si="1">MULTIPLY(C2, D2)</f>
        <v>450</v>
      </c>
    </row>
    <row r="3">
      <c r="B3" s="3" t="s">
        <v>61</v>
      </c>
      <c r="C3" s="4">
        <v>23.9</v>
      </c>
      <c r="D3" s="3">
        <v>12.0</v>
      </c>
      <c r="E3" s="5">
        <f t="shared" si="1"/>
        <v>286.8</v>
      </c>
    </row>
    <row r="4">
      <c r="B4" s="3" t="s">
        <v>62</v>
      </c>
      <c r="C4" s="4">
        <v>46.9</v>
      </c>
      <c r="D4" s="3">
        <v>1.0</v>
      </c>
      <c r="E4" s="5">
        <f t="shared" si="1"/>
        <v>46.9</v>
      </c>
    </row>
    <row r="5">
      <c r="B5" s="3" t="s">
        <v>63</v>
      </c>
      <c r="C5" s="4">
        <v>57.9</v>
      </c>
      <c r="D5" s="3">
        <v>1.0</v>
      </c>
      <c r="E5" s="5">
        <f t="shared" si="1"/>
        <v>57.9</v>
      </c>
    </row>
    <row r="6">
      <c r="B6" s="3" t="s">
        <v>19</v>
      </c>
      <c r="C6" s="4">
        <v>5.0</v>
      </c>
      <c r="D6" s="3">
        <v>20.0</v>
      </c>
      <c r="E6" s="5">
        <f t="shared" si="1"/>
        <v>100</v>
      </c>
    </row>
    <row r="7">
      <c r="B7" s="3" t="s">
        <v>21</v>
      </c>
      <c r="C7" s="4">
        <v>34.99</v>
      </c>
      <c r="D7" s="3">
        <v>1.0</v>
      </c>
      <c r="E7" s="5">
        <f t="shared" si="1"/>
        <v>34.99</v>
      </c>
    </row>
    <row r="8">
      <c r="B8" s="3" t="s">
        <v>23</v>
      </c>
      <c r="C8" s="4">
        <v>70.0</v>
      </c>
      <c r="D8" s="3">
        <v>1.0</v>
      </c>
      <c r="E8" s="5">
        <f t="shared" si="1"/>
        <v>70</v>
      </c>
    </row>
    <row r="9">
      <c r="B9" s="3" t="s">
        <v>25</v>
      </c>
      <c r="C9" s="4">
        <v>22.0</v>
      </c>
      <c r="D9" s="3">
        <v>1.0</v>
      </c>
      <c r="E9" s="5">
        <f t="shared" si="1"/>
        <v>22</v>
      </c>
    </row>
    <row r="10">
      <c r="B10" s="3" t="s">
        <v>27</v>
      </c>
      <c r="C10" s="4">
        <v>50.0</v>
      </c>
      <c r="D10" s="3">
        <v>3.0</v>
      </c>
      <c r="E10" s="5">
        <f t="shared" ref="E10:E11" si="2">PRODUCT(C10,D10)</f>
        <v>150</v>
      </c>
    </row>
    <row r="11">
      <c r="B11" s="3" t="s">
        <v>59</v>
      </c>
      <c r="C11" s="4">
        <v>30.0</v>
      </c>
      <c r="D11" s="3">
        <v>1.0</v>
      </c>
      <c r="E11" s="5">
        <f t="shared" si="2"/>
        <v>30</v>
      </c>
    </row>
    <row r="12">
      <c r="B12" s="3" t="s">
        <v>64</v>
      </c>
      <c r="C12" s="4">
        <v>50.0</v>
      </c>
      <c r="D12" s="3">
        <v>1.0</v>
      </c>
      <c r="E12" s="5">
        <f t="shared" ref="E12:E19" si="3">MULTIPLY(C12, D12)</f>
        <v>50</v>
      </c>
    </row>
    <row r="13">
      <c r="B13" s="3" t="s">
        <v>29</v>
      </c>
      <c r="C13" s="4">
        <v>15.0</v>
      </c>
      <c r="D13" s="3">
        <v>1.0</v>
      </c>
      <c r="E13" s="5">
        <f t="shared" si="3"/>
        <v>15</v>
      </c>
    </row>
    <row r="14">
      <c r="B14" s="3" t="s">
        <v>33</v>
      </c>
      <c r="C14" s="4">
        <v>15.0</v>
      </c>
      <c r="D14" s="3">
        <v>1.0</v>
      </c>
      <c r="E14" s="5">
        <f t="shared" si="3"/>
        <v>15</v>
      </c>
    </row>
    <row r="15">
      <c r="B15" s="3" t="s">
        <v>35</v>
      </c>
      <c r="C15" s="4">
        <v>25.0</v>
      </c>
      <c r="D15" s="3">
        <v>1.0</v>
      </c>
      <c r="E15" s="5">
        <f t="shared" si="3"/>
        <v>25</v>
      </c>
    </row>
    <row r="16">
      <c r="B16" s="3" t="s">
        <v>49</v>
      </c>
      <c r="C16" s="4">
        <v>5.0</v>
      </c>
      <c r="D16" s="3">
        <v>1.0</v>
      </c>
      <c r="E16" s="5">
        <f t="shared" si="3"/>
        <v>5</v>
      </c>
    </row>
    <row r="17">
      <c r="B17" s="3" t="s">
        <v>50</v>
      </c>
      <c r="C17" s="4">
        <v>20.0</v>
      </c>
      <c r="D17" s="3">
        <v>1.0</v>
      </c>
      <c r="E17" s="5">
        <f t="shared" si="3"/>
        <v>20</v>
      </c>
    </row>
    <row r="18">
      <c r="B18" s="3" t="s">
        <v>52</v>
      </c>
      <c r="C18" s="4">
        <v>16.9</v>
      </c>
      <c r="D18" s="3">
        <v>1.0</v>
      </c>
      <c r="E18" s="5">
        <f t="shared" si="3"/>
        <v>16.9</v>
      </c>
    </row>
    <row r="19">
      <c r="B19" s="3" t="s">
        <v>51</v>
      </c>
      <c r="C19" s="4">
        <v>22.9</v>
      </c>
      <c r="D19" s="3">
        <v>1.0</v>
      </c>
      <c r="E19" s="5">
        <f t="shared" si="3"/>
        <v>22.9</v>
      </c>
    </row>
    <row r="20">
      <c r="B20" s="3" t="s">
        <v>46</v>
      </c>
      <c r="C20" s="4" t="s">
        <v>55</v>
      </c>
      <c r="D20" s="10">
        <f>SUM(D2:D19)</f>
        <v>52</v>
      </c>
      <c r="E20" s="5">
        <f>SUM(E3:E19)</f>
        <v>968.39</v>
      </c>
    </row>
  </sheetData>
  <drawing r:id="rId1"/>
</worksheet>
</file>